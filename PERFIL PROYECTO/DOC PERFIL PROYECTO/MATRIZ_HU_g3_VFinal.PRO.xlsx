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mael\Downloads\"/>
    </mc:Choice>
  </mc:AlternateContent>
  <xr:revisionPtr revIDLastSave="0" documentId="8_{236E3C10-598C-48F4-9D3C-6695EDE7188A}" xr6:coauthVersionLast="47" xr6:coauthVersionMax="47" xr10:uidLastSave="{00000000-0000-0000-0000-000000000000}"/>
  <bookViews>
    <workbookView xWindow="384" yWindow="384" windowWidth="21624" windowHeight="11112" xr2:uid="{00000000-000D-0000-FFFF-FFFF00000000}"/>
  </bookViews>
  <sheets>
    <sheet name="Formato descripción HU" sheetId="1" r:id="rId1"/>
    <sheet name="Historia de Usuario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<sst xmlns="http://schemas.openxmlformats.org/spreadsheetml/2006/main" count="132" uniqueCount="98">
  <si>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</si>
  <si>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</si>
  <si>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</si>
  <si>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</si>
  <si>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</si>
  <si>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</si>
  <si>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</si>
  <si>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</si>
  <si>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</si>
  <si>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</si>
  <si>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</si>
  <si>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</si>
  <si>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</si>
  <si>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</si>
  <si>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</si>
  <si>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</si>
  <si>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</si>
  <si>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</si>
  <si>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</si>
  <si>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</si>
  <si>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</si>
  <si>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</si>
  <si>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</si>
  <si>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</si>
  <si>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</si>
  <si>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</si>
  <si>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</si>
  <si>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</si>
  <si>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</si>
  <si>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</si>
  <si>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</si>
  <si>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</si>
  <si>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</si>
  <si>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Búsqueda lenta de productos</t>
  </si>
  <si>
    <t>Búsqueda de Productos</t>
  </si>
  <si>
    <t>Michael Sopalo</t>
  </si>
  <si>
    <t>Luis Yanez</t>
  </si>
  <si>
    <t>REQ002</t>
  </si>
  <si>
    <t>REQ003</t>
  </si>
  <si>
    <t>REQ004</t>
  </si>
  <si>
    <t>REQ005</t>
  </si>
  <si>
    <t>REQ006</t>
  </si>
  <si>
    <t>Menú principal</t>
  </si>
  <si>
    <t>El usuario no tiene una forma clara de acceder a las funciones</t>
  </si>
  <si>
    <t>El programa mostrará un menú al iniciar</t>
  </si>
  <si>
    <t>El programa deberá ofrecer un menú que centralice el acceso a todas las funciones</t>
  </si>
  <si>
    <t>Registro de productos</t>
  </si>
  <si>
    <t>Consulta de inventario</t>
  </si>
  <si>
    <t>Actualización de stock</t>
  </si>
  <si>
    <t>Eliminación de productos</t>
  </si>
  <si>
    <t>REQ007</t>
  </si>
  <si>
    <t>REQ008</t>
  </si>
  <si>
    <t>Informe diario</t>
  </si>
  <si>
    <t>Alerta de stock bajo</t>
  </si>
  <si>
    <t>No hay forma de ingresar productos al inventario</t>
  </si>
  <si>
    <t>El programa permitirá registrar nombre, cantidad, lote y precio</t>
  </si>
  <si>
    <t>El programa deberá permitir el ingreso y almacenamiento de nuevos productos</t>
  </si>
  <si>
    <t>El usuario no puede ver qué productos hay almacenados</t>
  </si>
  <si>
    <t>El programa mostrará todos los productos en una tabla ordenada</t>
  </si>
  <si>
    <t>El programa deberá mostrar todo el inventario de forma ordenada y legible</t>
  </si>
  <si>
    <t xml:space="preserve">
El programa buscará un producto por nombre o código</t>
  </si>
  <si>
    <t>El programa deberá localizar rápidamente un producto según un criterio de búsqueda</t>
  </si>
  <si>
    <t>El programa permitirá modificar la cantidad de un producto</t>
  </si>
  <si>
    <t>Las cantidades cambian y deben estar al día</t>
  </si>
  <si>
    <t>El programa deberá mantener actualizadas las cantidades del inventario</t>
  </si>
  <si>
    <t>Productos descontinuados siguen ocupando el inventario</t>
  </si>
  <si>
    <t>El programa permitirá eliminar un producto</t>
  </si>
  <si>
    <t>El programa deberá retirar del inventario los productos que ya no se manejan</t>
  </si>
  <si>
    <t>El usuario no se entera cuando un producto está por agotarse</t>
  </si>
  <si>
    <t>El programa avisará cuando la cantidad sea menor a un mínimo</t>
  </si>
  <si>
    <t>El programa deberá advertir cuando un producto esté por agotarse</t>
  </si>
  <si>
    <t>1. Definir una cantidad mínima.
2. Comparar el stock de cada producto con ese mínimo.
3. Mostrar una alerta en los que estén por debajo.</t>
  </si>
  <si>
    <t>Falta un resumen del estado del inventario</t>
  </si>
  <si>
    <t>El programa generará un informe con entradas, salidas y stock</t>
  </si>
  <si>
    <t>El programa deberá generar un resumen del estado diario del inventario</t>
  </si>
  <si>
    <t>1. Reunir entradas, salidas y stock de cada producto. 
2. Calcular los totales del día.
3. Mostrar y guardar el informe.</t>
  </si>
  <si>
    <t>Cada opción abre su función y solo cierra con "Salir"</t>
  </si>
  <si>
    <t>El producto registrado aparece en la consulta</t>
  </si>
  <si>
    <t>Se listan todos los productos con sus cantidades</t>
  </si>
  <si>
    <t>Muestra el producto si existe; avisa si no</t>
  </si>
  <si>
    <t>La cantidad cambia al nuevo valor</t>
  </si>
  <si>
    <t>El producto borrado ya no aparece</t>
  </si>
  <si>
    <t>Los productos bajo el mínimo se marcan</t>
  </si>
  <si>
    <t>El informe muestra totales y stock correctos</t>
  </si>
  <si>
    <t>Navegación del sistema</t>
  </si>
  <si>
    <t>Alta de productos</t>
  </si>
  <si>
    <t>Ver el stock</t>
  </si>
  <si>
    <t>Encontrar un producto</t>
  </si>
  <si>
    <t>Ajustar cantidades</t>
  </si>
  <si>
    <t>Dar de baja productos</t>
  </si>
  <si>
    <t>Aviso de stock mínimo</t>
  </si>
  <si>
    <t>Resumen del día</t>
  </si>
  <si>
    <t>Diseñar un menu de inico
1.Registar botellas
2.Consultar Inventario
3.Eliminar productos
4.Informe diario de productos
5.Salir</t>
  </si>
  <si>
    <t>1. Ingresar nombre, cantidad, lote y precio.
600ml=BOT600
1 ltr=BOT1LT
5 ltr=BOT5LT
BIDON=BIDON.</t>
  </si>
  <si>
    <t>1. Ingresar COD de produucto
 2. Mostrar  los datos en columnas.
3. Guardar prodcutos.</t>
  </si>
  <si>
    <t>1. Ingresa COD  de busca.  
2. Mostrar el resultado o avisar si no existe.</t>
  </si>
  <si>
    <t>1. Buscar el producto por COD a modificar.
2.Mostrar la actualizacion</t>
  </si>
  <si>
    <t>1. Buscar por el COD del producto. 
2. Confirmar la eliminación por COD.
3. Actualizar el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</si>
</sst>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</font>
    <font>
      <sz val="11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7B7B7B"/>
      </left>
      <right/>
      <top style="thin">
        <color rgb="FF7B7B7B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B7B7B"/>
      </left>
      <right/>
      <top/>
      <bottom style="thin">
        <color rgb="FF7B7B7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8" fillId="0" borderId="25" xfId="0" applyFont="1" applyBorder="1" applyAlignment="1">
      <alignment vertical="center" wrapText="1"/>
    </xf>
    <xf numFmtId="0" fontId="19" fillId="0" borderId="2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14" fillId="0" borderId="33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20" fillId="0" borderId="0" xfId="0" applyFont="1"/>
    <xf numFmtId="0" fontId="4" fillId="0" borderId="2" xfId="0" applyFont="1" applyBorder="1" applyAlignment="1">
      <alignment horizontal="center" vertical="top" wrapText="1"/>
    </xf>
    <xf numFmtId="0" fontId="18" fillId="0" borderId="25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0" xfId="0" applyFont="1" applyBorder="1"/>
    <xf numFmtId="0" fontId="8" fillId="0" borderId="13" xfId="0" applyFont="1" applyBorder="1"/>
    <xf numFmtId="0" fontId="0" fillId="0" borderId="0" xfId="0"/>
    <xf numFmtId="0" fontId="8" fillId="0" borderId="14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E5" zoomScale="105" zoomScaleNormal="70" workbookViewId="0">
      <selection activeCell="F14" sqref="F14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2" customWidth="1"/>
    <col min="7" max="7" width="32.5" customWidth="1"/>
    <col min="8" max="12" width="10.59765625" customWidth="1"/>
    <col min="13" max="13" width="32.5" customWidth="1"/>
    <col min="14" max="14" width="20.59765625" customWidth="1"/>
    <col min="15" max="15" width="23.69921875" customWidth="1"/>
    <col min="16" max="26" width="9.19921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62" t="s">
        <v>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26" ht="5.25" customHeight="1" x14ac:dyDescent="0.3">
      <c r="H4" s="4"/>
      <c r="I4" s="1"/>
      <c r="J4" s="1"/>
      <c r="K4" s="2"/>
      <c r="L4" s="3"/>
    </row>
    <row r="5" spans="1:26" ht="63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0" t="s">
        <v>43</v>
      </c>
      <c r="D6" s="30" t="s">
        <v>44</v>
      </c>
      <c r="E6" s="30" t="s">
        <v>45</v>
      </c>
      <c r="F6" s="37" t="s">
        <v>16</v>
      </c>
      <c r="G6" s="60" t="s">
        <v>92</v>
      </c>
      <c r="H6" s="37" t="s">
        <v>35</v>
      </c>
      <c r="I6" s="30">
        <v>1</v>
      </c>
      <c r="J6" s="31">
        <v>46044</v>
      </c>
      <c r="K6" s="38" t="s">
        <v>17</v>
      </c>
      <c r="L6" s="40" t="s">
        <v>18</v>
      </c>
      <c r="M6" s="53" t="s">
        <v>76</v>
      </c>
      <c r="N6" s="52" t="s">
        <v>84</v>
      </c>
      <c r="O6" s="39" t="s">
        <v>42</v>
      </c>
      <c r="R6" s="59"/>
    </row>
    <row r="7" spans="1:26" ht="103.5" customHeight="1" x14ac:dyDescent="0.25">
      <c r="B7" s="32" t="s">
        <v>37</v>
      </c>
      <c r="C7" s="33" t="s">
        <v>54</v>
      </c>
      <c r="D7" s="30" t="s">
        <v>55</v>
      </c>
      <c r="E7" s="30" t="s">
        <v>56</v>
      </c>
      <c r="F7" s="41" t="s">
        <v>16</v>
      </c>
      <c r="G7" s="30" t="s">
        <v>93</v>
      </c>
      <c r="H7" s="37" t="s">
        <v>35</v>
      </c>
      <c r="I7" s="30">
        <v>2</v>
      </c>
      <c r="J7" s="44">
        <v>46199</v>
      </c>
      <c r="K7" s="30" t="s">
        <v>17</v>
      </c>
      <c r="L7" s="30" t="s">
        <v>18</v>
      </c>
      <c r="M7" s="54" t="s">
        <v>77</v>
      </c>
      <c r="N7" s="52" t="s">
        <v>85</v>
      </c>
      <c r="O7" s="34" t="s">
        <v>46</v>
      </c>
    </row>
    <row r="8" spans="1:26" ht="99.75" customHeight="1" x14ac:dyDescent="0.25">
      <c r="A8" s="7"/>
      <c r="B8" s="48" t="s">
        <v>38</v>
      </c>
      <c r="C8" s="46" t="s">
        <v>57</v>
      </c>
      <c r="D8" s="34" t="s">
        <v>58</v>
      </c>
      <c r="E8" s="51" t="s">
        <v>59</v>
      </c>
      <c r="F8" s="36" t="s">
        <v>16</v>
      </c>
      <c r="G8" s="33" t="s">
        <v>94</v>
      </c>
      <c r="H8" s="36" t="s">
        <v>36</v>
      </c>
      <c r="I8" s="33">
        <v>1</v>
      </c>
      <c r="J8" s="44">
        <v>46202</v>
      </c>
      <c r="K8" s="30" t="s">
        <v>17</v>
      </c>
      <c r="L8" s="30" t="s">
        <v>18</v>
      </c>
      <c r="M8" s="55" t="s">
        <v>78</v>
      </c>
      <c r="N8" s="52" t="s">
        <v>86</v>
      </c>
      <c r="O8" s="58" t="s">
        <v>47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48" t="s">
        <v>39</v>
      </c>
      <c r="C9" s="46" t="s">
        <v>33</v>
      </c>
      <c r="D9" s="45" t="s">
        <v>60</v>
      </c>
      <c r="E9" s="35" t="s">
        <v>61</v>
      </c>
      <c r="F9" s="36" t="s">
        <v>16</v>
      </c>
      <c r="G9" s="35" t="s">
        <v>95</v>
      </c>
      <c r="H9" s="35" t="s">
        <v>36</v>
      </c>
      <c r="I9" s="35">
        <v>2</v>
      </c>
      <c r="J9" s="44">
        <v>46206</v>
      </c>
      <c r="K9" s="30" t="s">
        <v>17</v>
      </c>
      <c r="L9" s="30" t="s">
        <v>18</v>
      </c>
      <c r="M9" s="56" t="s">
        <v>79</v>
      </c>
      <c r="N9" s="52" t="s">
        <v>87</v>
      </c>
      <c r="O9" s="61" t="s">
        <v>34</v>
      </c>
    </row>
    <row r="10" spans="1:26" ht="78" customHeight="1" x14ac:dyDescent="0.25">
      <c r="B10" s="48" t="s">
        <v>40</v>
      </c>
      <c r="C10" s="50" t="s">
        <v>63</v>
      </c>
      <c r="D10" s="45" t="s">
        <v>62</v>
      </c>
      <c r="E10" s="35" t="s">
        <v>64</v>
      </c>
      <c r="F10" s="41" t="s">
        <v>16</v>
      </c>
      <c r="G10" s="35" t="s">
        <v>96</v>
      </c>
      <c r="H10" s="35" t="s">
        <v>35</v>
      </c>
      <c r="I10" s="35">
        <v>1</v>
      </c>
      <c r="J10" s="44">
        <v>46206</v>
      </c>
      <c r="K10" s="30" t="s">
        <v>17</v>
      </c>
      <c r="L10" s="30" t="s">
        <v>18</v>
      </c>
      <c r="M10" s="56" t="s">
        <v>80</v>
      </c>
      <c r="N10" s="52" t="s">
        <v>88</v>
      </c>
      <c r="O10" s="45" t="s">
        <v>48</v>
      </c>
    </row>
    <row r="11" spans="1:26" ht="99.75" customHeight="1" x14ac:dyDescent="0.25">
      <c r="B11" s="49" t="s">
        <v>41</v>
      </c>
      <c r="C11" s="47" t="s">
        <v>65</v>
      </c>
      <c r="D11" s="41" t="s">
        <v>66</v>
      </c>
      <c r="E11" s="41" t="s">
        <v>67</v>
      </c>
      <c r="F11" s="41" t="s">
        <v>16</v>
      </c>
      <c r="G11" s="40" t="s">
        <v>97</v>
      </c>
      <c r="H11" s="35" t="s">
        <v>35</v>
      </c>
      <c r="I11" s="40">
        <v>1</v>
      </c>
      <c r="J11" s="44">
        <v>46206</v>
      </c>
      <c r="K11" s="30" t="s">
        <v>17</v>
      </c>
      <c r="L11" s="40" t="s">
        <v>18</v>
      </c>
      <c r="M11" s="57" t="s">
        <v>81</v>
      </c>
      <c r="N11" s="52" t="s">
        <v>89</v>
      </c>
      <c r="O11" s="58" t="s">
        <v>49</v>
      </c>
    </row>
    <row r="12" spans="1:26" ht="99.75" customHeight="1" x14ac:dyDescent="0.25">
      <c r="B12" s="49" t="s">
        <v>50</v>
      </c>
      <c r="C12" s="47" t="s">
        <v>68</v>
      </c>
      <c r="D12" s="41" t="s">
        <v>69</v>
      </c>
      <c r="E12" s="41" t="s">
        <v>70</v>
      </c>
      <c r="F12" s="41" t="s">
        <v>16</v>
      </c>
      <c r="G12" s="40" t="s">
        <v>71</v>
      </c>
      <c r="H12" s="41" t="s">
        <v>36</v>
      </c>
      <c r="I12" s="40">
        <v>1</v>
      </c>
      <c r="J12" s="44">
        <v>46209</v>
      </c>
      <c r="K12" s="30" t="s">
        <v>17</v>
      </c>
      <c r="L12" s="40" t="s">
        <v>18</v>
      </c>
      <c r="M12" s="57" t="s">
        <v>82</v>
      </c>
      <c r="N12" s="52" t="s">
        <v>90</v>
      </c>
      <c r="O12" s="58" t="s">
        <v>53</v>
      </c>
    </row>
    <row r="13" spans="1:26" ht="99.75" customHeight="1" x14ac:dyDescent="0.25">
      <c r="B13" s="49" t="s">
        <v>51</v>
      </c>
      <c r="C13" s="47" t="s">
        <v>72</v>
      </c>
      <c r="D13" s="41" t="s">
        <v>73</v>
      </c>
      <c r="E13" s="41" t="s">
        <v>74</v>
      </c>
      <c r="F13" s="41" t="s">
        <v>16</v>
      </c>
      <c r="G13" s="41" t="s">
        <v>75</v>
      </c>
      <c r="H13" s="41" t="s">
        <v>36</v>
      </c>
      <c r="I13" s="40">
        <v>1</v>
      </c>
      <c r="J13" s="44">
        <v>46209</v>
      </c>
      <c r="K13" s="30" t="s">
        <v>17</v>
      </c>
      <c r="L13" s="40" t="s">
        <v>18</v>
      </c>
      <c r="M13" s="57" t="s">
        <v>83</v>
      </c>
      <c r="N13" s="52" t="s">
        <v>91</v>
      </c>
      <c r="O13" s="58" t="s">
        <v>52</v>
      </c>
    </row>
    <row r="14" spans="1:26" ht="64.5" customHeight="1" x14ac:dyDescent="0.25">
      <c r="I14" s="1"/>
      <c r="J14" s="1"/>
      <c r="K14" s="9"/>
      <c r="L14" s="3"/>
    </row>
    <row r="15" spans="1:26" ht="39.75" customHeight="1" x14ac:dyDescent="0.3">
      <c r="I15" s="1"/>
      <c r="J15" s="1"/>
      <c r="K15" s="2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19.5" customHeight="1" x14ac:dyDescent="0.3">
      <c r="I18" s="1"/>
      <c r="J18" s="1"/>
      <c r="K18" s="42" t="s">
        <v>19</v>
      </c>
      <c r="L18" s="43" t="s">
        <v>20</v>
      </c>
      <c r="M18" s="4"/>
    </row>
    <row r="19" spans="9:13" ht="19.5" customHeight="1" x14ac:dyDescent="0.3">
      <c r="I19" s="1"/>
      <c r="J19" s="1"/>
      <c r="K19" s="42" t="s">
        <v>17</v>
      </c>
      <c r="L19" s="43" t="s">
        <v>21</v>
      </c>
      <c r="M19" s="4"/>
    </row>
    <row r="20" spans="9:13" ht="19.5" customHeight="1" x14ac:dyDescent="0.3">
      <c r="I20" s="1"/>
      <c r="J20" s="1"/>
      <c r="K20" s="42" t="s">
        <v>22</v>
      </c>
      <c r="L20" s="43" t="s">
        <v>18</v>
      </c>
      <c r="M20" s="4"/>
    </row>
    <row r="21" spans="9:13" ht="19.5" customHeight="1" x14ac:dyDescent="0.3">
      <c r="I21" s="1"/>
      <c r="J21" s="1"/>
      <c r="K21" s="42"/>
      <c r="L21" s="43" t="s">
        <v>23</v>
      </c>
      <c r="M21" s="4"/>
    </row>
    <row r="22" spans="9:13" ht="19.5" customHeight="1" x14ac:dyDescent="0.3">
      <c r="I22" s="1"/>
      <c r="J22" s="1"/>
      <c r="K22" s="2"/>
      <c r="L22" s="3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5.7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25">
      <c r="I988" s="3"/>
      <c r="J988" s="3"/>
      <c r="K988" s="8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/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3" xr:uid="{00000000-0002-0000-0000-000000000000}">
      <formula1>$L$18:$L$21</formula1>
    </dataValidation>
    <dataValidation type="list" allowBlank="1" showErrorMessage="1" sqref="K6:K13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87" t="s">
        <v>24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3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82" t="s">
        <v>25</v>
      </c>
      <c r="F9" s="83"/>
      <c r="G9" s="13"/>
      <c r="H9" s="82" t="s">
        <v>11</v>
      </c>
      <c r="I9" s="83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84" t="str">
        <f>VLOOKUP(C10,'Formato descripción HU'!B6:O14,5,0)</f>
        <v>Administrador</v>
      </c>
      <c r="F10" s="83"/>
      <c r="G10" s="17"/>
      <c r="H10" s="84" t="str">
        <f>VLOOKUP(C10,'Formato descripción HU'!B6:O14,11,0)</f>
        <v>Terminado</v>
      </c>
      <c r="I10" s="83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82" t="s">
        <v>10</v>
      </c>
      <c r="F12" s="83"/>
      <c r="G12" s="17"/>
      <c r="H12" s="82" t="s">
        <v>27</v>
      </c>
      <c r="I12" s="83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HU'!B6:O14,8,0)</f>
        <v>1</v>
      </c>
      <c r="D13" s="16"/>
      <c r="E13" s="84" t="str">
        <f>VLOOKUP(C10,'Formato descripción HU'!B6:O14,10,0)</f>
        <v xml:space="preserve">Media </v>
      </c>
      <c r="F13" s="83"/>
      <c r="G13" s="17"/>
      <c r="H13" s="84" t="str">
        <f>VLOOKUP(C10,'Formato descripción HU'!B6:O14,7,0)</f>
        <v>Michael Sopalo</v>
      </c>
      <c r="I13" s="83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64" t="s">
        <v>28</v>
      </c>
      <c r="D15" s="89" t="str">
        <f>VLOOKUP(C10,'Formato descripción HU'!B6:O14,3,0)</f>
        <v>El programa mostrará un menú al iniciar</v>
      </c>
      <c r="E15" s="69"/>
      <c r="F15" s="14"/>
      <c r="G15" s="64" t="s">
        <v>29</v>
      </c>
      <c r="H15" s="89" t="str">
        <f>VLOOKUP(C10,'Formato descripción HU'!B6:O14,4,0)</f>
        <v>El programa deberá ofrecer un menú que centralice el acceso a todas las funciones</v>
      </c>
      <c r="I15" s="68"/>
      <c r="J15" s="69"/>
      <c r="K15" s="14"/>
      <c r="L15" s="64" t="s">
        <v>30</v>
      </c>
      <c r="M15" s="67" t="str">
        <f>VLOOKUP(C10,'Formato descripción HU'!B6:O14,6,0)</f>
        <v>Diseñar un menu de inico
1.Registar botellas
2.Consultar Inventario
3.Eliminar productos
4.Informe diario de productos
5.Salir</v>
      </c>
      <c r="N15" s="68"/>
      <c r="O15" s="69"/>
      <c r="P15" s="29"/>
    </row>
    <row r="16" spans="2:16" ht="19.5" customHeight="1" x14ac:dyDescent="0.25">
      <c r="B16" s="28"/>
      <c r="C16" s="65"/>
      <c r="D16" s="70"/>
      <c r="E16" s="72"/>
      <c r="F16" s="14"/>
      <c r="G16" s="65"/>
      <c r="H16" s="70"/>
      <c r="I16" s="71"/>
      <c r="J16" s="72"/>
      <c r="K16" s="14"/>
      <c r="L16" s="65"/>
      <c r="M16" s="70"/>
      <c r="N16" s="71"/>
      <c r="O16" s="72"/>
      <c r="P16" s="29"/>
    </row>
    <row r="17" spans="2:16" ht="19.5" customHeight="1" x14ac:dyDescent="0.25">
      <c r="B17" s="28"/>
      <c r="C17" s="66"/>
      <c r="D17" s="73"/>
      <c r="E17" s="75"/>
      <c r="F17" s="14"/>
      <c r="G17" s="66"/>
      <c r="H17" s="73"/>
      <c r="I17" s="74"/>
      <c r="J17" s="75"/>
      <c r="K17" s="14"/>
      <c r="L17" s="66"/>
      <c r="M17" s="73"/>
      <c r="N17" s="74"/>
      <c r="O17" s="75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85" t="s">
        <v>31</v>
      </c>
      <c r="D19" s="69"/>
      <c r="E19" s="76" t="str">
        <f>VLOOKUP(C10,'Formato descripción HU'!B6:O14,14,0)</f>
        <v>Menú principal</v>
      </c>
      <c r="F19" s="77"/>
      <c r="G19" s="77"/>
      <c r="H19" s="77"/>
      <c r="I19" s="77"/>
      <c r="J19" s="77"/>
      <c r="K19" s="77"/>
      <c r="L19" s="77"/>
      <c r="M19" s="77"/>
      <c r="N19" s="77"/>
      <c r="O19" s="78"/>
      <c r="P19" s="29"/>
    </row>
    <row r="20" spans="2:16" ht="19.5" customHeight="1" x14ac:dyDescent="0.25">
      <c r="B20" s="28"/>
      <c r="C20" s="73"/>
      <c r="D20" s="75"/>
      <c r="E20" s="79"/>
      <c r="F20" s="80"/>
      <c r="G20" s="80"/>
      <c r="H20" s="80"/>
      <c r="I20" s="80"/>
      <c r="J20" s="80"/>
      <c r="K20" s="80"/>
      <c r="L20" s="80"/>
      <c r="M20" s="80"/>
      <c r="N20" s="80"/>
      <c r="O20" s="81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86" t="s">
        <v>32</v>
      </c>
      <c r="D22" s="69"/>
      <c r="E22" s="67" t="str">
        <f>VLOOKUP(C10,'Formato descripción HU'!B6:O14,12,0)</f>
        <v>Cada opción abre su función y solo cierra con "Salir"</v>
      </c>
      <c r="F22" s="68"/>
      <c r="G22" s="68"/>
      <c r="H22" s="69"/>
      <c r="I22" s="14"/>
      <c r="J22" s="86" t="s">
        <v>13</v>
      </c>
      <c r="K22" s="69"/>
      <c r="L22" s="67" t="str">
        <f>VLOOKUP(C10,'Formato descripción HU'!B6:O14,13,0)</f>
        <v>Navegación del sistema</v>
      </c>
      <c r="M22" s="68"/>
      <c r="N22" s="68"/>
      <c r="O22" s="69"/>
      <c r="P22" s="29"/>
    </row>
    <row r="23" spans="2:16" ht="19.5" customHeight="1" x14ac:dyDescent="0.25">
      <c r="B23" s="28"/>
      <c r="C23" s="70"/>
      <c r="D23" s="72"/>
      <c r="E23" s="70"/>
      <c r="F23" s="71"/>
      <c r="G23" s="71"/>
      <c r="H23" s="72"/>
      <c r="I23" s="14"/>
      <c r="J23" s="70"/>
      <c r="K23" s="72"/>
      <c r="L23" s="70"/>
      <c r="M23" s="71"/>
      <c r="N23" s="71"/>
      <c r="O23" s="72"/>
      <c r="P23" s="29"/>
    </row>
    <row r="24" spans="2:16" ht="19.5" customHeight="1" x14ac:dyDescent="0.25">
      <c r="B24" s="28"/>
      <c r="C24" s="73"/>
      <c r="D24" s="75"/>
      <c r="E24" s="73"/>
      <c r="F24" s="74"/>
      <c r="G24" s="74"/>
      <c r="H24" s="75"/>
      <c r="I24" s="14"/>
      <c r="J24" s="73"/>
      <c r="K24" s="75"/>
      <c r="L24" s="73"/>
      <c r="M24" s="74"/>
      <c r="N24" s="74"/>
      <c r="O24" s="75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michael sopalo</cp:lastModifiedBy>
  <cp:revision/>
  <dcterms:created xsi:type="dcterms:W3CDTF">2019-10-21T15:37:14Z</dcterms:created>
  <dcterms:modified xsi:type="dcterms:W3CDTF">2026-07-15T00:55:44Z</dcterms:modified>
  <cp:category/>
  <cp:contentStatus/>
</cp:coreProperties>
</file>